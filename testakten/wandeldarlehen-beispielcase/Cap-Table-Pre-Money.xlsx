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-Table Pre-Mon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EUR&quot;"/>
  </numFmts>
  <fonts count="7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color rgb="007A7974"/>
      <sz val="11"/>
    </font>
    <font>
      <name val="Calibri"/>
      <b val="1"/>
      <color rgb="00FFFFFF"/>
      <sz val="11"/>
    </font>
    <font>
      <name val="Calibri"/>
      <color rgb="0028251D"/>
      <sz val="11"/>
    </font>
    <font>
      <name val="Calibri"/>
      <i val="1"/>
      <color rgb="007A7974"/>
      <sz val="10"/>
    </font>
    <font>
      <name val="Calibri"/>
      <i val="1"/>
      <color rgb="0020808D"/>
      <sz val="10"/>
    </font>
  </fonts>
  <fills count="4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20808D"/>
        <bgColor rgb="0020808D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8" customWidth="1" min="4" max="4"/>
    <col width="14" customWidth="1" min="5" max="5"/>
  </cols>
  <sheetData>
    <row r="1" ht="6" customHeight="1"/>
    <row r="2" ht="24" customHeight="1">
      <c r="B2" s="1" t="inlineStr">
        <is>
          <t>Sonnenglas Solartechnologie UG (haftungsbeschränkt)</t>
        </is>
      </c>
    </row>
    <row r="3" ht="18" customHeight="1">
      <c r="B3" s="2" t="inlineStr">
        <is>
          <t>Cap-Table — Pre-Money (vor Wandlung / vor Seed-Runde)</t>
        </is>
      </c>
    </row>
    <row r="4" ht="6" customHeight="1"/>
    <row r="5" ht="20" customHeight="1">
      <c r="B5" s="3" t="inlineStr">
        <is>
          <t>Gesellschafter</t>
        </is>
      </c>
      <c r="C5" s="3" t="inlineStr">
        <is>
          <t>Anteile (Stk.)</t>
        </is>
      </c>
      <c r="D5" s="3" t="inlineStr">
        <is>
          <t>Nennwert (EUR)</t>
        </is>
      </c>
      <c r="E5" s="3" t="inlineStr">
        <is>
          <t>Beteiligung (%)</t>
        </is>
      </c>
    </row>
    <row r="6" ht="18" customHeight="1">
      <c r="B6" s="4" t="inlineStr">
        <is>
          <t>Dr. Mira Schoeneck (GF)</t>
        </is>
      </c>
      <c r="C6" s="5" t="n">
        <v>40</v>
      </c>
      <c r="D6" s="6">
        <f>C6*1</f>
        <v/>
      </c>
      <c r="E6" s="7">
        <f>C6/C9</f>
        <v/>
      </c>
    </row>
    <row r="7" ht="18" customHeight="1">
      <c r="B7" s="4" t="inlineStr">
        <is>
          <t>Lina Habersaat</t>
        </is>
      </c>
      <c r="C7" s="5" t="n">
        <v>35</v>
      </c>
      <c r="D7" s="6">
        <f>C7*1</f>
        <v/>
      </c>
      <c r="E7" s="7">
        <f>C7/C9</f>
        <v/>
      </c>
    </row>
    <row r="8" ht="18" customHeight="1">
      <c r="B8" s="4" t="inlineStr">
        <is>
          <t>Sonnenglas UG (Treasury)</t>
        </is>
      </c>
      <c r="C8" s="5" t="n">
        <v>25</v>
      </c>
      <c r="D8" s="6">
        <f>C8*1</f>
        <v/>
      </c>
      <c r="E8" s="7">
        <f>C8/C9</f>
        <v/>
      </c>
    </row>
    <row r="9" ht="20" customHeight="1">
      <c r="B9" s="8" t="inlineStr">
        <is>
          <t>Gesamt</t>
        </is>
      </c>
      <c r="C9" s="9">
        <f>SUM(C6:C8)</f>
        <v/>
      </c>
      <c r="D9" s="10">
        <f>SUM(D6:D8)</f>
        <v/>
      </c>
      <c r="E9" s="11">
        <f>SUM(E6:E8)</f>
        <v/>
      </c>
    </row>
    <row r="11" ht="16" customHeight="1">
      <c r="B11" s="12" t="inlineStr">
        <is>
          <t>Stammkapital: EUR 1.000,00 | 100 Anteile à EUR 1,00 | HRB 123456 B, AG Charlottenburg</t>
        </is>
      </c>
    </row>
    <row r="12" ht="16" customHeight="1">
      <c r="B12" s="12" t="inlineStr">
        <is>
          <t>Stand: vor Wandlung des Wandeldarlehens Northstar / vor Seed-Finanzierungsrunde</t>
        </is>
      </c>
    </row>
    <row r="13" ht="16" customHeight="1">
      <c r="B13" s="13" t="inlineStr">
        <is>
          <t>Wandeldarlehen Northstar Pre-Seed Partners: EUR 250.000 (ausstehend, noch nicht gewandelt)</t>
        </is>
      </c>
    </row>
  </sheetData>
  <mergeCells count="5">
    <mergeCell ref="B12:E12"/>
    <mergeCell ref="B13:E13"/>
    <mergeCell ref="B11:E1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2026-05-22T16:37:37Z</dcterms:created>
  <dcterms:modified xmlns:dcterms="http://purl.org/dc/terms/" xmlns:xsi="http://www.w3.org/2001/XMLSchema-instance" xsi:type="dcterms:W3CDTF">2026-05-22T16:37:37Z</dcterms:modified>
</cp:coreProperties>
</file>