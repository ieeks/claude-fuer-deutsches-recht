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Berechnungsgrundlagen" sheetId="1" state="visible" r:id="rId1"/>
    <sheet xmlns:r="http://schemas.openxmlformats.org/officeDocument/2006/relationships" name="Cap-Table Post-Mon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EUR&quot;"/>
  </numFmts>
  <fonts count="6">
    <font>
      <name val="Calibri"/>
      <family val="2"/>
      <color theme="1"/>
      <sz val="11"/>
      <scheme val="minor"/>
    </font>
    <font>
      <name val="Calibri"/>
      <b val="1"/>
      <color rgb="001B474D"/>
      <sz val="14"/>
    </font>
    <font>
      <name val="Calibri"/>
      <color rgb="007A7974"/>
      <sz val="11"/>
    </font>
    <font>
      <name val="Calibri"/>
      <b val="1"/>
      <color rgb="00FFFFFF"/>
      <sz val="11"/>
    </font>
    <font>
      <name val="Calibri"/>
      <color rgb="0028251D"/>
      <sz val="11"/>
    </font>
    <font>
      <name val="Calibri"/>
      <i val="1"/>
      <color rgb="007A7974"/>
      <sz val="10"/>
    </font>
  </fonts>
  <fills count="5">
    <fill>
      <patternFill/>
    </fill>
    <fill>
      <patternFill patternType="gray125"/>
    </fill>
    <fill>
      <patternFill patternType="solid">
        <fgColor rgb="001B474D"/>
        <bgColor rgb="001B474D"/>
      </patternFill>
    </fill>
    <fill>
      <patternFill patternType="solid">
        <fgColor rgb="0020808D"/>
        <bgColor rgb="0020808D"/>
      </patternFill>
    </fill>
    <fill>
      <patternFill patternType="solid">
        <fgColor rgb="00BCE2E7"/>
        <bgColor rgb="00BCE2E7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2" customWidth="1" min="4" max="4"/>
  </cols>
  <sheetData>
    <row r="1" ht="6" customHeight="1"/>
    <row r="2" ht="24" customHeight="1">
      <c r="B2" s="1" t="inlineStr">
        <is>
          <t>Sonnenglas Solartechnologie UG – Wandlungsberechnung</t>
        </is>
      </c>
    </row>
    <row r="3" ht="18" customHeight="1">
      <c r="B3" s="2" t="inlineStr">
        <is>
          <t>Seed-Runde: Pre-Money EUR 6.000.000 | Investment EUR 1.000.000</t>
        </is>
      </c>
    </row>
    <row r="4" ht="6" customHeight="1"/>
    <row r="5" ht="20" customHeight="1">
      <c r="B5" s="3" t="inlineStr">
        <is>
          <t>Parameter</t>
        </is>
      </c>
      <c r="C5" s="3" t="inlineStr">
        <is>
          <t>Wert</t>
        </is>
      </c>
      <c r="D5" s="3" t="inlineStr">
        <is>
          <t>Anmerkung</t>
        </is>
      </c>
    </row>
    <row r="6" ht="18" customHeight="1">
      <c r="B6" s="4" t="inlineStr">
        <is>
          <t>Darlehensbetrag</t>
        </is>
      </c>
      <c r="C6" s="5" t="n">
        <v>250000</v>
      </c>
      <c r="D6" s="6" t="inlineStr">
        <is>
          <t>EUR</t>
        </is>
      </c>
    </row>
    <row r="7" ht="18" customHeight="1">
      <c r="B7" s="4" t="inlineStr">
        <is>
          <t>Zinssatz p.a.</t>
        </is>
      </c>
      <c r="C7" s="7" t="n">
        <v>0.05</v>
      </c>
      <c r="D7" s="6" t="inlineStr">
        <is>
          <t>5 Prozent p.a. (act/360)</t>
        </is>
      </c>
    </row>
    <row r="8" ht="18" customHeight="1">
      <c r="B8" s="4" t="inlineStr">
        <is>
          <t>Laufzeit (Tage)</t>
        </is>
      </c>
      <c r="C8" s="8" t="n">
        <v>730</v>
      </c>
      <c r="D8" s="6" t="inlineStr">
        <is>
          <t>2 Jahre</t>
        </is>
      </c>
    </row>
    <row r="9" ht="18" customHeight="1">
      <c r="B9" s="4" t="inlineStr">
        <is>
          <t>Zinsbetrag</t>
        </is>
      </c>
      <c r="C9" s="5">
        <f>B6*B7*B8/360</f>
        <v/>
      </c>
      <c r="D9" s="6" t="inlineStr">
        <is>
          <t>EUR</t>
        </is>
      </c>
    </row>
    <row r="10" ht="18" customHeight="1">
      <c r="B10" s="4" t="inlineStr">
        <is>
          <t>Wandlungssumme (Kapital + Zinsen)</t>
        </is>
      </c>
      <c r="C10" s="5">
        <f>B6+B9</f>
        <v/>
      </c>
      <c r="D10" s="6" t="inlineStr">
        <is>
          <t>EUR</t>
        </is>
      </c>
    </row>
    <row r="11" ht="18" customHeight="1">
      <c r="B11" s="4" t="inlineStr">
        <is>
          <t>Cap Pre-Money (Vertragswert)</t>
        </is>
      </c>
      <c r="C11" s="5" t="n">
        <v>4000000</v>
      </c>
      <c r="D11" s="6" t="inlineStr">
        <is>
          <t>EUR</t>
        </is>
      </c>
    </row>
    <row r="12" ht="18" customHeight="1">
      <c r="B12" s="4" t="inlineStr">
        <is>
          <t>Anteile alt (vor Wandlung)</t>
        </is>
      </c>
      <c r="C12" s="8" t="n">
        <v>100</v>
      </c>
      <c r="D12" s="6" t="inlineStr">
        <is>
          <t>Stk.</t>
        </is>
      </c>
    </row>
    <row r="13" ht="18" customHeight="1">
      <c r="B13" s="4" t="inlineStr">
        <is>
          <t>Wandlungspreis je Anteil (Cap)</t>
        </is>
      </c>
      <c r="C13" s="5">
        <f>B11/B12</f>
        <v/>
      </c>
      <c r="D13" s="6" t="inlineStr">
        <is>
          <t>EUR (Cap / Anteile alt)</t>
        </is>
      </c>
    </row>
    <row r="14" ht="18" customHeight="1">
      <c r="B14" s="4" t="inlineStr">
        <is>
          <t>Neue Anteile Northstar (aufgerundet)</t>
        </is>
      </c>
      <c r="C14" s="8">
        <f>CEILING(B10/B13,1)</f>
        <v/>
      </c>
      <c r="D14" s="6" t="inlineStr">
        <is>
          <t>Stk.</t>
        </is>
      </c>
    </row>
    <row r="15" ht="18" customHeight="1">
      <c r="B15" s="4" t="inlineStr">
        <is>
          <t>Discount</t>
        </is>
      </c>
      <c r="C15" s="7" t="n">
        <v>0.2</v>
      </c>
      <c r="D15" s="6" t="inlineStr">
        <is>
          <t>20 Prozent</t>
        </is>
      </c>
    </row>
    <row r="16" ht="18" customHeight="1">
      <c r="B16" s="4" t="inlineStr">
        <is>
          <t>Pre-Money Seed-Runde</t>
        </is>
      </c>
      <c r="C16" s="5" t="n">
        <v>6000000</v>
      </c>
      <c r="D16" s="6" t="inlineStr">
        <is>
          <t>EUR</t>
        </is>
      </c>
    </row>
    <row r="17" ht="18" customHeight="1">
      <c r="B17" s="4" t="inlineStr">
        <is>
          <t>Investment Seed-Investoren</t>
        </is>
      </c>
      <c r="C17" s="5" t="n">
        <v>1000000</v>
      </c>
      <c r="D17" s="6" t="inlineStr">
        <is>
          <t>EUR</t>
        </is>
      </c>
    </row>
    <row r="18" ht="18" customHeight="1">
      <c r="B18" s="4" t="inlineStr">
        <is>
          <t>Wandlungspreis Seed-Investoren</t>
        </is>
      </c>
      <c r="C18" s="5">
        <f>B11/B12</f>
        <v/>
      </c>
      <c r="D18" s="6" t="inlineStr">
        <is>
          <t>EUR (identisch Cap-getriggert)</t>
        </is>
      </c>
    </row>
    <row r="19" ht="18" customHeight="1">
      <c r="B19" s="4" t="inlineStr">
        <is>
          <t>Neue Anteile Seed-Investoren</t>
        </is>
      </c>
      <c r="C19" s="8">
        <f>CEILING(B17/B18,1)</f>
        <v/>
      </c>
      <c r="D19" s="6" t="inlineStr">
        <is>
          <t>Stk.</t>
        </is>
      </c>
    </row>
    <row r="20" ht="18" customHeight="1">
      <c r="B20" s="4" t="inlineStr">
        <is>
          <t>ESOP-Reserve (optional)</t>
        </is>
      </c>
      <c r="C20" s="8" t="n">
        <v>3</v>
      </c>
      <c r="D20" s="6" t="inlineStr">
        <is>
          <t>Stk.</t>
        </is>
      </c>
    </row>
    <row r="21" ht="18" customHeight="1">
      <c r="B21" s="9" t="inlineStr">
        <is>
          <t>Post-Money Stammkapital total</t>
        </is>
      </c>
      <c r="C21" s="10">
        <f>B12+B14+B19+B20</f>
        <v/>
      </c>
      <c r="D21" s="9" t="inlineStr">
        <is>
          <t>Stk.</t>
        </is>
      </c>
    </row>
  </sheetData>
  <mergeCells count="2"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8" customWidth="1" min="4" max="4"/>
    <col width="14" customWidth="1" min="5" max="5"/>
    <col width="20" customWidth="1" min="6" max="6"/>
  </cols>
  <sheetData>
    <row r="1" ht="6" customHeight="1"/>
    <row r="2" ht="24" customHeight="1">
      <c r="B2" s="1" t="inlineStr">
        <is>
          <t>Sonnenglas Solartechnologie UG (haftungsbeschränkt)</t>
        </is>
      </c>
    </row>
    <row r="3" ht="18" customHeight="1">
      <c r="B3" s="2" t="inlineStr">
        <is>
          <t>Cap-Table — Post-Money (nach Wandlung + Seed-Runde, inkl. ESOP-Reserve)</t>
        </is>
      </c>
    </row>
    <row r="4" ht="6" customHeight="1"/>
    <row r="5" ht="20" customHeight="1">
      <c r="B5" s="3" t="inlineStr">
        <is>
          <t>Gesellschafter</t>
        </is>
      </c>
      <c r="C5" s="3" t="inlineStr">
        <is>
          <t>Anteile (Stk.)</t>
        </is>
      </c>
      <c r="D5" s="3" t="inlineStr">
        <is>
          <t>Nennwert (EUR)</t>
        </is>
      </c>
      <c r="E5" s="3" t="inlineStr">
        <is>
          <t>Beteiligung (%)</t>
        </is>
      </c>
      <c r="F5" s="3" t="inlineStr">
        <is>
          <t>Kategorie</t>
        </is>
      </c>
    </row>
    <row r="6" ht="18" customHeight="1">
      <c r="B6" s="4" t="inlineStr">
        <is>
          <t>Dr. Mira Schoeneck (GF)</t>
        </is>
      </c>
      <c r="C6" s="8" t="n">
        <v>40</v>
      </c>
      <c r="D6" s="5">
        <f>C6*1</f>
        <v/>
      </c>
      <c r="E6" s="7">
        <f>C6/C12</f>
        <v/>
      </c>
      <c r="F6" s="6" t="inlineStr">
        <is>
          <t>Altgesellschafter</t>
        </is>
      </c>
    </row>
    <row r="7" ht="18" customHeight="1">
      <c r="B7" s="4" t="inlineStr">
        <is>
          <t>Lina Habersaat</t>
        </is>
      </c>
      <c r="C7" s="8" t="n">
        <v>35</v>
      </c>
      <c r="D7" s="5">
        <f>C7*1</f>
        <v/>
      </c>
      <c r="E7" s="7">
        <f>C7/C12</f>
        <v/>
      </c>
      <c r="F7" s="6" t="inlineStr">
        <is>
          <t>Altgesellschafterin</t>
        </is>
      </c>
    </row>
    <row r="8" ht="18" customHeight="1">
      <c r="B8" s="4" t="inlineStr">
        <is>
          <t>Sonnenglas UG (Treasury)</t>
        </is>
      </c>
      <c r="C8" s="8" t="n">
        <v>25</v>
      </c>
      <c r="D8" s="5">
        <f>C8*1</f>
        <v/>
      </c>
      <c r="E8" s="7">
        <f>C8/C12</f>
        <v/>
      </c>
      <c r="F8" s="6" t="inlineStr">
        <is>
          <t>Eigene Anteile</t>
        </is>
      </c>
    </row>
    <row r="9" ht="18" customHeight="1">
      <c r="B9" s="11" t="inlineStr">
        <is>
          <t>Northstar Pre-Seed Partners GmbH &amp; Co. KG</t>
        </is>
      </c>
      <c r="C9" s="12">
        <f>Berechnungsgrundlagen!C14</f>
        <v/>
      </c>
      <c r="D9" s="13">
        <f>C9*1</f>
        <v/>
      </c>
      <c r="E9" s="14">
        <f>C9/C12</f>
        <v/>
      </c>
      <c r="F9" s="15" t="inlineStr">
        <is>
          <t>Wandeldarlehen → Eigenkapital</t>
        </is>
      </c>
    </row>
    <row r="10" ht="18" customHeight="1">
      <c r="B10" s="11" t="inlineStr">
        <is>
          <t>Seed-Investoren (Pool)</t>
        </is>
      </c>
      <c r="C10" s="12">
        <f>Berechnungsgrundlagen!C19</f>
        <v/>
      </c>
      <c r="D10" s="13">
        <f>C10*1</f>
        <v/>
      </c>
      <c r="E10" s="14">
        <f>C10/C12</f>
        <v/>
      </c>
      <c r="F10" s="15" t="inlineStr">
        <is>
          <t>Seed-Runde</t>
        </is>
      </c>
    </row>
    <row r="11" ht="18" customHeight="1">
      <c r="B11" s="11" t="inlineStr">
        <is>
          <t>ESOP-Reserve</t>
        </is>
      </c>
      <c r="C11" s="12">
        <f>Berechnungsgrundlagen!C20</f>
        <v/>
      </c>
      <c r="D11" s="13">
        <f>C11*1</f>
        <v/>
      </c>
      <c r="E11" s="14">
        <f>C11/C12</f>
        <v/>
      </c>
      <c r="F11" s="15" t="inlineStr">
        <is>
          <t>Mitarbeiterbeteiligung</t>
        </is>
      </c>
    </row>
    <row r="12" ht="20" customHeight="1">
      <c r="B12" s="9" t="inlineStr">
        <is>
          <t>Gesamt Post-Money</t>
        </is>
      </c>
      <c r="C12" s="10">
        <f>SUM(C6:C11)</f>
        <v/>
      </c>
      <c r="D12" s="16">
        <f>SUM(D6:D11)</f>
        <v/>
      </c>
      <c r="E12" s="17">
        <f>SUM(E6:E11)</f>
        <v/>
      </c>
      <c r="F12" s="18" t="n"/>
    </row>
    <row r="14" ht="16" customHeight="1">
      <c r="B14" s="19" t="inlineStr">
        <is>
          <t>Stammkapital post-money: EUR 135,00 | 135 Anteile à EUR 1,00 | Seed Pre-Money EUR 6.000.000 | Investment EUR 1.000.000</t>
        </is>
      </c>
    </row>
    <row r="15" ht="16" customHeight="1">
      <c r="B15" s="19" t="inlineStr">
        <is>
          <t>Wandlungspreis Northstar: EUR 40.000 je Anteil (Cap-getriggert) | Wandlungssumme: EUR 275.694 | 7 neue Anteile (aufgerundet)</t>
        </is>
      </c>
    </row>
    <row r="16" ht="16" customHeight="1">
      <c r="B16" s="19" t="inlineStr">
        <is>
          <t>Wandlungspreis Seed: EUR 40.000 je Anteil | 25 neue Anteile | ESOP-Reserve 3 Anteile (reserviert, noch nicht ausgegeben)</t>
        </is>
      </c>
    </row>
  </sheetData>
  <mergeCells count="5">
    <mergeCell ref="B2:F2"/>
    <mergeCell ref="B16:F16"/>
    <mergeCell ref="B15:F15"/>
    <mergeCell ref="B3:F3"/>
    <mergeCell ref="B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2026-05-22T16:37:37Z</dcterms:created>
  <dcterms:modified xmlns:dcterms="http://purl.org/dc/terms/" xmlns:xsi="http://www.w3.org/2001/XMLSchema-instance" xsi:type="dcterms:W3CDTF">2026-05-22T16:37:37Z</dcterms:modified>
</cp:coreProperties>
</file>